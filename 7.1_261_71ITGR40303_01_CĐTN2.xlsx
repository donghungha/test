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vanlangunivn-my.sharepoint.com/personal/hung_hd_vlu_edu_vn/Documents/vlu/_01_hoc_ky_261/"/>
    </mc:Choice>
  </mc:AlternateContent>
  <xr:revisionPtr revIDLastSave="268" documentId="11_2D9397D901751EC3E8DB2B68C2D7255C8390ABA5" xr6:coauthVersionLast="47" xr6:coauthVersionMax="47" xr10:uidLastSave="{FE6F6611-E3CF-447E-B32C-7A42B56354EF}"/>
  <bookViews>
    <workbookView minimized="1" xWindow="1560" yWindow="1560" windowWidth="21600" windowHeight="11295" xr2:uid="{00000000-000D-0000-FFFF-FFFF00000000}"/>
  </bookViews>
  <sheets>
    <sheet name="261_71ITGR40303_01" sheetId="1" r:id="rId1"/>
    <sheet name="Nhóm (1)" sheetId="13" r:id="rId2"/>
    <sheet name="Nhóm (2)" sheetId="4" r:id="rId3"/>
    <sheet name="Nhóm (3)" sheetId="5" r:id="rId4"/>
    <sheet name="Nhóm (4)" sheetId="6" r:id="rId5"/>
    <sheet name="Nhóm (5)" sheetId="7" r:id="rId6"/>
    <sheet name="Nhóm (6)" sheetId="8" r:id="rId7"/>
    <sheet name="Nhóm (7)" sheetId="9" r:id="rId8"/>
    <sheet name="Nhóm (8)" sheetId="10" r:id="rId9"/>
    <sheet name="Nhóm (9)" sheetId="11" r:id="rId10"/>
    <sheet name="Nhóm (10)" sheetId="12" r:id="rId11"/>
  </sheets>
  <definedNames>
    <definedName name="_xlnm._FilterDatabase" localSheetId="0" hidden="1">'261_71ITGR40303_01'!$A$1:$V$38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L36" i="1"/>
  <c r="M36" i="1"/>
  <c r="N36" i="1"/>
  <c r="O36" i="1"/>
  <c r="P36" i="1"/>
  <c r="Q36" i="1"/>
  <c r="R36" i="1"/>
  <c r="S36" i="1"/>
  <c r="U36" i="1"/>
  <c r="V36" i="1"/>
  <c r="J3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2" i="1"/>
  <c r="T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tc={8B248BAA-CE8C-4DA8-B244-28175C014472}</author>
  </authors>
  <commentList>
    <comment ref="L27" authorId="0" shapeId="0" xr:uid="{8B248BAA-CE8C-4DA8-B244-28175C014472}">
      <text>
        <t>[Threaded comment]
Your version of Excel allows you to read this threaded comment; however, any edits to it will get removed if the file is opened in a newer version of Excel. Learn more: https://go.microsoft.com/fwlink/?linkid=870924
Comment:
    Phép</t>
      </text>
    </comment>
  </commentList>
</comments>
</file>

<file path=xl/sharedStrings.xml><?xml version="1.0" encoding="utf-8"?>
<sst xmlns="http://schemas.openxmlformats.org/spreadsheetml/2006/main" count="645" uniqueCount="259">
  <si>
    <t>STT</t>
  </si>
  <si>
    <t>Mã SV</t>
  </si>
  <si>
    <t>Họ lót</t>
  </si>
  <si>
    <t>Tên</t>
  </si>
  <si>
    <t>Ngày sinh</t>
  </si>
  <si>
    <t>Giới tính</t>
  </si>
  <si>
    <t>Email</t>
  </si>
  <si>
    <t>Lớp hành chính</t>
  </si>
  <si>
    <t>Nhóm</t>
  </si>
  <si>
    <t>26/09/2026</t>
  </si>
  <si>
    <t>03/10/2026</t>
  </si>
  <si>
    <t>10/10/2026</t>
  </si>
  <si>
    <t>17/10/2026</t>
  </si>
  <si>
    <t>24/10/2026</t>
  </si>
  <si>
    <t>31/10/2026</t>
  </si>
  <si>
    <t>07/11/2026</t>
  </si>
  <si>
    <t>14/11/2026</t>
  </si>
  <si>
    <t>21/11/2026</t>
  </si>
  <si>
    <t>28/11/2026</t>
  </si>
  <si>
    <t>ĐIỂM CC 
(10%)</t>
  </si>
  <si>
    <t>GIỮA KỲ 
(30%)</t>
  </si>
  <si>
    <t>CUỐI KỲ 
(60%)</t>
  </si>
  <si>
    <t>1</t>
  </si>
  <si>
    <t>2374802010009</t>
  </si>
  <si>
    <t xml:space="preserve">Bùi Thế </t>
  </si>
  <si>
    <t>Anh</t>
  </si>
  <si>
    <t>14/11/2005</t>
  </si>
  <si>
    <t>Nam</t>
  </si>
  <si>
    <t>anh.2374802010009@vanlanguni.vn</t>
  </si>
  <si>
    <t>Khóa 6 Công nghệ thông tin-71K29CNTT02</t>
  </si>
  <si>
    <t/>
  </si>
  <si>
    <t>2</t>
  </si>
  <si>
    <t>237480201IS05</t>
  </si>
  <si>
    <t xml:space="preserve">Kaysone Souk </t>
  </si>
  <si>
    <t>Anong</t>
  </si>
  <si>
    <t>26/01/2003</t>
  </si>
  <si>
    <t>Nữ</t>
  </si>
  <si>
    <t>237480201IS05@vanlanguni.vn</t>
  </si>
  <si>
    <t>Khóa 6 Công nghệ thông tin-71K29CNTT17</t>
  </si>
  <si>
    <t>3</t>
  </si>
  <si>
    <t>2374802010032</t>
  </si>
  <si>
    <t xml:space="preserve">Hà Gia Thiên </t>
  </si>
  <si>
    <t>Bảo</t>
  </si>
  <si>
    <t>22/08/2005</t>
  </si>
  <si>
    <t>bao.2374802010032@vanlanguni.vn</t>
  </si>
  <si>
    <t>Khóa 6 Công nghệ thông tin-71K29CNTT05</t>
  </si>
  <si>
    <t>4</t>
  </si>
  <si>
    <t>2374802010107</t>
  </si>
  <si>
    <t xml:space="preserve">Viên Thành </t>
  </si>
  <si>
    <t>Đạt</t>
  </si>
  <si>
    <t>14/02/2005</t>
  </si>
  <si>
    <t>dat.2374802010107@vanlanguni.vn</t>
  </si>
  <si>
    <t>Khóa 6 Công nghệ thông tin-71K29CNTT09</t>
  </si>
  <si>
    <t>5</t>
  </si>
  <si>
    <t>2374802010125</t>
  </si>
  <si>
    <t xml:space="preserve">Nguyễn Hồ Trung </t>
  </si>
  <si>
    <t>Hải</t>
  </si>
  <si>
    <t>05/04/2005</t>
  </si>
  <si>
    <t>hai.2374802010125@vanlanguni.vn</t>
  </si>
  <si>
    <t>Khóa 6 Công nghệ thông tin-71K29CNTT03</t>
  </si>
  <si>
    <t>6</t>
  </si>
  <si>
    <t>2374802010175</t>
  </si>
  <si>
    <t xml:space="preserve">Lê Gia </t>
  </si>
  <si>
    <t>Huy</t>
  </si>
  <si>
    <t>12/05/2005</t>
  </si>
  <si>
    <t>huy.2374802010175@vanlanguni.vn</t>
  </si>
  <si>
    <t>7</t>
  </si>
  <si>
    <t>2374802010181</t>
  </si>
  <si>
    <t xml:space="preserve">Nguyễn Gia </t>
  </si>
  <si>
    <t>16/08/2005</t>
  </si>
  <si>
    <t>huy.2374802010181@vanlanguni.vn</t>
  </si>
  <si>
    <t>8</t>
  </si>
  <si>
    <t>2374802010185</t>
  </si>
  <si>
    <t xml:space="preserve">Nguyễn Quốc </t>
  </si>
  <si>
    <t>01/07/2005</t>
  </si>
  <si>
    <t>huy.2374802010185@vanlanguni.vn</t>
  </si>
  <si>
    <t>Khóa 6 Công nghệ thông tin-71K29CNTT01</t>
  </si>
  <si>
    <t>9</t>
  </si>
  <si>
    <t>2374802010196</t>
  </si>
  <si>
    <t xml:space="preserve">Lưu Văn </t>
  </si>
  <si>
    <t>Hưng</t>
  </si>
  <si>
    <t>17/11/2005</t>
  </si>
  <si>
    <t>hung.2374802010196@vanlanguni.vn</t>
  </si>
  <si>
    <t>10</t>
  </si>
  <si>
    <t>2374802010205</t>
  </si>
  <si>
    <t xml:space="preserve">Giang Huy </t>
  </si>
  <si>
    <t>Khải</t>
  </si>
  <si>
    <t>02/08/2005</t>
  </si>
  <si>
    <t>khai.2374802010205@vanlanguni.vn</t>
  </si>
  <si>
    <t>11</t>
  </si>
  <si>
    <t>2374802013428</t>
  </si>
  <si>
    <t xml:space="preserve">Bùi Đăng </t>
  </si>
  <si>
    <t>Khoa</t>
  </si>
  <si>
    <t>13/10/2005</t>
  </si>
  <si>
    <t>khoa.2374802013428@vanlanguni.vn</t>
  </si>
  <si>
    <t>Khóa 6 Công nghệ thông tin-71K29CNTT15</t>
  </si>
  <si>
    <t>12</t>
  </si>
  <si>
    <t>2374802010240</t>
  </si>
  <si>
    <t xml:space="preserve">Trần Đăng </t>
  </si>
  <si>
    <t>07/09/2005</t>
  </si>
  <si>
    <t>khoa.2374802010240@vanlanguni.vn</t>
  </si>
  <si>
    <t>Khóa 6 Công nghệ thông tin-71K29CNTT04</t>
  </si>
  <si>
    <t>13</t>
  </si>
  <si>
    <t>2374802010260</t>
  </si>
  <si>
    <t xml:space="preserve">Nguyễn Đỗ Tuấn </t>
  </si>
  <si>
    <t>Kiệt</t>
  </si>
  <si>
    <t>01/01/2005</t>
  </si>
  <si>
    <t>kiet.2374802010260@vanlanguni.vn</t>
  </si>
  <si>
    <t>14</t>
  </si>
  <si>
    <t>2374802010263</t>
  </si>
  <si>
    <t xml:space="preserve">Trần Tuấn </t>
  </si>
  <si>
    <t>03/09/2005</t>
  </si>
  <si>
    <t>kiet.2374802010263@vanlanguni.vn</t>
  </si>
  <si>
    <t>15</t>
  </si>
  <si>
    <t>2374802013303</t>
  </si>
  <si>
    <t xml:space="preserve">Đặng Mai Hoàng </t>
  </si>
  <si>
    <t>Long</t>
  </si>
  <si>
    <t>17/01/2005</t>
  </si>
  <si>
    <t>long.2374802013303@vanlanguni.vn</t>
  </si>
  <si>
    <t>Khóa 6 Công nghệ thông tin-71K29CNTT13</t>
  </si>
  <si>
    <t>16</t>
  </si>
  <si>
    <t>2374802010291</t>
  </si>
  <si>
    <t xml:space="preserve">Nguyễn Duy </t>
  </si>
  <si>
    <t>Lợi</t>
  </si>
  <si>
    <t>loi.2374802010291@vanlanguni.vn</t>
  </si>
  <si>
    <t>17</t>
  </si>
  <si>
    <t>2374802010318</t>
  </si>
  <si>
    <t xml:space="preserve">Dương Diễm </t>
  </si>
  <si>
    <t>My</t>
  </si>
  <si>
    <t>17/06/2005</t>
  </si>
  <si>
    <t>my.2374802010318@vanlanguni.vn</t>
  </si>
  <si>
    <t>18</t>
  </si>
  <si>
    <t>2374802010384</t>
  </si>
  <si>
    <t xml:space="preserve">Lê Tấn </t>
  </si>
  <si>
    <t>Phong</t>
  </si>
  <si>
    <t>24/03/2003</t>
  </si>
  <si>
    <t>phong.2374802010384@vanlanguni.vn</t>
  </si>
  <si>
    <t>Khóa 6 Công nghệ thông tin-71K29CNTT12</t>
  </si>
  <si>
    <t>19</t>
  </si>
  <si>
    <t>2374802010402</t>
  </si>
  <si>
    <t xml:space="preserve">Nguyễn Đức </t>
  </si>
  <si>
    <t>Phước</t>
  </si>
  <si>
    <t>11/04/2005</t>
  </si>
  <si>
    <t>phuoc.2374802010402@vanlanguni.vn</t>
  </si>
  <si>
    <t>20</t>
  </si>
  <si>
    <t>2374802010412</t>
  </si>
  <si>
    <t xml:space="preserve">Đoàn Hoàng </t>
  </si>
  <si>
    <t>Quân</t>
  </si>
  <si>
    <t>22/03/2005</t>
  </si>
  <si>
    <t>quan.2374802010412@vanlanguni.vn</t>
  </si>
  <si>
    <t>21</t>
  </si>
  <si>
    <t>2273401151135</t>
  </si>
  <si>
    <t xml:space="preserve">Nguyễn Minh </t>
  </si>
  <si>
    <t>04/10/2004</t>
  </si>
  <si>
    <t>quan.2273401151135@vanlanguni.vn</t>
  </si>
  <si>
    <t>22</t>
  </si>
  <si>
    <t>2374802012635</t>
  </si>
  <si>
    <t xml:space="preserve">Thái An </t>
  </si>
  <si>
    <t>Quốc</t>
  </si>
  <si>
    <t>19/05/2003</t>
  </si>
  <si>
    <t>quoc.2374802012635@vanlanguni.vn</t>
  </si>
  <si>
    <t>Khóa 6 Công nghệ thông tin-71K29CNTT16</t>
  </si>
  <si>
    <t>23</t>
  </si>
  <si>
    <t>237480201IS09</t>
  </si>
  <si>
    <t xml:space="preserve">Rasphone </t>
  </si>
  <si>
    <t>Samphanthamith</t>
  </si>
  <si>
    <t>03/04/2005</t>
  </si>
  <si>
    <t>237480201IS09@vanlanguni.vn</t>
  </si>
  <si>
    <t>24</t>
  </si>
  <si>
    <t>2374802010458</t>
  </si>
  <si>
    <t>Thành</t>
  </si>
  <si>
    <t>30/10/2005</t>
  </si>
  <si>
    <t>thanh.2374802010458@vanlanguni.vn</t>
  </si>
  <si>
    <t>25</t>
  </si>
  <si>
    <t>2374802010452</t>
  </si>
  <si>
    <t xml:space="preserve">Phạm Vũ </t>
  </si>
  <si>
    <t>Thạch</t>
  </si>
  <si>
    <t>05/03/2005</t>
  </si>
  <si>
    <t>thach.2374802010452@vanlanguni.vn</t>
  </si>
  <si>
    <t>26</t>
  </si>
  <si>
    <t>2374802010489</t>
  </si>
  <si>
    <t xml:space="preserve">Nguyễn Hoàng </t>
  </si>
  <si>
    <t>Thuận</t>
  </si>
  <si>
    <t>23/09/2005</t>
  </si>
  <si>
    <t>thuan.2374802010489@vanlanguni.vn</t>
  </si>
  <si>
    <t>27</t>
  </si>
  <si>
    <t>2374802010493</t>
  </si>
  <si>
    <t xml:space="preserve">Đoàn Xuân </t>
  </si>
  <si>
    <t>Tiến</t>
  </si>
  <si>
    <t>02/05/2005</t>
  </si>
  <si>
    <t>tien.2374802010493@vanlanguni.vn</t>
  </si>
  <si>
    <t>Khóa 6 Công nghệ thông tin-71K29CNTT11</t>
  </si>
  <si>
    <t>28</t>
  </si>
  <si>
    <t>2374802010506</t>
  </si>
  <si>
    <t xml:space="preserve">Đinh Văn </t>
  </si>
  <si>
    <t>Toàn</t>
  </si>
  <si>
    <t>27/06/2005</t>
  </si>
  <si>
    <t>toan.2374802010506@vanlanguni.vn</t>
  </si>
  <si>
    <t>29</t>
  </si>
  <si>
    <t>2374802010520</t>
  </si>
  <si>
    <t xml:space="preserve">Võ Minh </t>
  </si>
  <si>
    <t>Triều</t>
  </si>
  <si>
    <t>02/03/2005</t>
  </si>
  <si>
    <t>trieu.2374802010520@vanlanguni.vn</t>
  </si>
  <si>
    <t>30</t>
  </si>
  <si>
    <t>2374802010521</t>
  </si>
  <si>
    <t xml:space="preserve">Bùi Quốc </t>
  </si>
  <si>
    <t>Triệu</t>
  </si>
  <si>
    <t>27/01/2005</t>
  </si>
  <si>
    <t>trieu.2374802010521@vanlanguni.vn</t>
  </si>
  <si>
    <t>31</t>
  </si>
  <si>
    <t>2374802013438</t>
  </si>
  <si>
    <t xml:space="preserve">Nguyễn Anh </t>
  </si>
  <si>
    <t>Tuấn</t>
  </si>
  <si>
    <t>11/03/2005</t>
  </si>
  <si>
    <t>tuan.2374802013438@vanlanguni.vn</t>
  </si>
  <si>
    <t>32</t>
  </si>
  <si>
    <t>2374802010577</t>
  </si>
  <si>
    <t xml:space="preserve">Trần Quốc </t>
  </si>
  <si>
    <t>Vương</t>
  </si>
  <si>
    <t>10/10/2005</t>
  </si>
  <si>
    <t>vuong.2374802010577@vanlanguni.vn</t>
  </si>
  <si>
    <t>33</t>
  </si>
  <si>
    <t>237480201IS11</t>
  </si>
  <si>
    <t xml:space="preserve">Mingbouppha </t>
  </si>
  <si>
    <t>Xaykham</t>
  </si>
  <si>
    <t>15/12/2002</t>
  </si>
  <si>
    <t>237480201IS11@vanlanguni.vn</t>
  </si>
  <si>
    <t>Sprint</t>
  </si>
  <si>
    <t>Buổi</t>
  </si>
  <si>
    <t>Cụ thể công việc từng thành viên đã làm, đang làm</t>
  </si>
  <si>
    <t>Output đạt được</t>
  </si>
  <si>
    <t>% hoàn thành</t>
  </si>
  <si>
    <t>Sprint 0</t>
  </si>
  <si>
    <t>Buổi 1–3</t>
  </si>
  <si>
    <t>Sprint 1</t>
  </si>
  <si>
    <t>Buổi 4–5</t>
  </si>
  <si>
    <t>Sprint 2</t>
  </si>
  <si>
    <t>Buổi 6</t>
  </si>
  <si>
    <t>Sprint 3</t>
  </si>
  <si>
    <t>Buổi 7</t>
  </si>
  <si>
    <t>Sprint 4</t>
  </si>
  <si>
    <t>Buổi 8</t>
  </si>
  <si>
    <t>Sprint 5</t>
  </si>
  <si>
    <t>Buổi 9–10</t>
  </si>
  <si>
    <t>Giới thiệu môn học, phân nhóm và lựa chọn đề tài</t>
  </si>
  <si>
    <t>R</t>
  </si>
  <si>
    <t>Phân tích yêu cầu đề tài</t>
  </si>
  <si>
    <t>Lập kế hoạch dự án theo Agile/Scrum rút gọn</t>
  </si>
  <si>
    <t>chưa</t>
  </si>
  <si>
    <t>Thiết kế kiến trúc/ pipeline tổng thể</t>
  </si>
  <si>
    <t>Buổi 1</t>
  </si>
  <si>
    <t>Buổi 2</t>
  </si>
  <si>
    <t>Buổi 3</t>
  </si>
  <si>
    <t>Buổi 4</t>
  </si>
  <si>
    <t>Buổi 5</t>
  </si>
  <si>
    <t>Buổi 9</t>
  </si>
  <si>
    <t>Buổi 10</t>
  </si>
  <si>
    <t>Thiết kế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</si>
</sst>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  <charset val="1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1" fillId="0" borderId="0" xfId="0" applyNumberFormat="1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à Đồng Hưng - Khoa Công nghệ Thông tin - VLTECH" id="{BAF436EF-1E3C-46C3-A4A9-68616BEAD4C0}" userId="S::hung.hd@vlu.edu.vn::544bb70a-02ae-480f-83e2-67ef1e534f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7" dT="2026-10-10T01:42:05.19" personId="{BAF436EF-1E3C-46C3-A4A9-68616BEAD4C0}" id="{8B248BAA-CE8C-4DA8-B244-28175C014472}">
    <text>Phép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B27" workbookViewId="0">
      <selection activeCell="N42" sqref="N42"/>
    </sheetView>
  </sheetViews>
  <sheetFormatPr defaultColWidth="14.875" defaultRowHeight="20.25" x14ac:dyDescent="0.3"/>
  <cols>
    <col min="1" max="1" width="6.125" style="3" bestFit="1" customWidth="1"/>
    <col min="2" max="2" width="20.875" style="3" bestFit="1" customWidth="1"/>
    <col min="3" max="3" width="22.25" style="3" bestFit="1" customWidth="1"/>
    <col min="4" max="4" width="20.625" style="3" bestFit="1" customWidth="1"/>
    <col min="5" max="5" width="14.75" style="13" hidden="1" customWidth="1"/>
    <col min="6" max="6" width="11.75" style="13" hidden="1" customWidth="1"/>
    <col min="7" max="7" width="48" style="13" hidden="1" customWidth="1"/>
    <col min="8" max="8" width="52.875" style="13" hidden="1" customWidth="1"/>
    <col min="9" max="9" width="8.5" style="13" hidden="1" customWidth="1"/>
    <col min="10" max="11" width="14.75" style="13" customWidth="1"/>
    <col min="12" max="19" width="14.75" style="13" bestFit="1" customWidth="1"/>
    <col min="20" max="21" width="19.875" style="13" bestFit="1" customWidth="1"/>
    <col min="22" max="22" width="19.5" style="13" bestFit="1" customWidth="1"/>
    <col min="23" max="16384" width="14.875" style="13"/>
  </cols>
  <sheetData>
    <row r="1" spans="1:22" s="11" customFormat="1" ht="40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0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 t="s">
        <v>25</v>
      </c>
      <c r="E2" s="12" t="s">
        <v>26</v>
      </c>
      <c r="F2" s="12" t="s">
        <v>27</v>
      </c>
      <c r="G2" s="12" t="s">
        <v>28</v>
      </c>
      <c r="H2" s="12" t="s">
        <v>29</v>
      </c>
      <c r="I2" s="12"/>
      <c r="J2" s="12">
        <v>1</v>
      </c>
      <c r="K2" s="12">
        <v>1</v>
      </c>
      <c r="L2" s="12">
        <v>1</v>
      </c>
      <c r="M2" s="12">
        <v>1</v>
      </c>
      <c r="N2" s="12">
        <v>1</v>
      </c>
      <c r="O2" s="12" t="s">
        <v>30</v>
      </c>
      <c r="P2" s="12" t="s">
        <v>30</v>
      </c>
      <c r="Q2" s="12" t="s">
        <v>30</v>
      </c>
      <c r="R2" s="12" t="s">
        <v>30</v>
      </c>
      <c r="S2" s="12" t="s">
        <v>30</v>
      </c>
      <c r="T2" s="12">
        <f>SUM(J2:S2)</f>
        <v>5</v>
      </c>
      <c r="U2" s="12"/>
      <c r="V2" s="12"/>
    </row>
    <row r="3" spans="1:22" x14ac:dyDescent="0.3">
      <c r="A3" s="1" t="s">
        <v>31</v>
      </c>
      <c r="B3" s="1" t="s">
        <v>32</v>
      </c>
      <c r="C3" s="1" t="s">
        <v>33</v>
      </c>
      <c r="D3" s="1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/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 t="s">
        <v>30</v>
      </c>
      <c r="P3" s="12" t="s">
        <v>30</v>
      </c>
      <c r="Q3" s="12" t="s">
        <v>30</v>
      </c>
      <c r="R3" s="12" t="s">
        <v>30</v>
      </c>
      <c r="S3" s="12" t="s">
        <v>30</v>
      </c>
      <c r="T3" s="12">
        <f t="shared" ref="T3:T34" si="0">SUM(J3:S3)</f>
        <v>5</v>
      </c>
      <c r="U3" s="12"/>
      <c r="V3" s="12"/>
    </row>
    <row r="4" spans="1:22" x14ac:dyDescent="0.3">
      <c r="A4" s="1" t="s">
        <v>39</v>
      </c>
      <c r="B4" s="1" t="s">
        <v>40</v>
      </c>
      <c r="C4" s="1" t="s">
        <v>41</v>
      </c>
      <c r="D4" s="1" t="s">
        <v>42</v>
      </c>
      <c r="E4" s="12" t="s">
        <v>43</v>
      </c>
      <c r="F4" s="12" t="s">
        <v>27</v>
      </c>
      <c r="G4" s="12" t="s">
        <v>44</v>
      </c>
      <c r="H4" s="12" t="s">
        <v>45</v>
      </c>
      <c r="I4" s="12"/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 t="s">
        <v>30</v>
      </c>
      <c r="P4" s="12" t="s">
        <v>30</v>
      </c>
      <c r="Q4" s="12" t="s">
        <v>30</v>
      </c>
      <c r="R4" s="12" t="s">
        <v>30</v>
      </c>
      <c r="S4" s="12" t="s">
        <v>30</v>
      </c>
      <c r="T4" s="12">
        <f t="shared" si="0"/>
        <v>5</v>
      </c>
      <c r="U4" s="12"/>
      <c r="V4" s="12"/>
    </row>
    <row r="5" spans="1:22" x14ac:dyDescent="0.3">
      <c r="A5" s="1" t="s">
        <v>46</v>
      </c>
      <c r="B5" s="1" t="s">
        <v>47</v>
      </c>
      <c r="C5" s="1" t="s">
        <v>48</v>
      </c>
      <c r="D5" s="1" t="s">
        <v>49</v>
      </c>
      <c r="E5" s="12" t="s">
        <v>50</v>
      </c>
      <c r="F5" s="12" t="s">
        <v>27</v>
      </c>
      <c r="G5" s="12" t="s">
        <v>51</v>
      </c>
      <c r="H5" s="12" t="s">
        <v>52</v>
      </c>
      <c r="I5" s="12"/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 t="s">
        <v>30</v>
      </c>
      <c r="P5" s="12" t="s">
        <v>30</v>
      </c>
      <c r="Q5" s="12" t="s">
        <v>30</v>
      </c>
      <c r="R5" s="12" t="s">
        <v>30</v>
      </c>
      <c r="S5" s="12" t="s">
        <v>30</v>
      </c>
      <c r="T5" s="12">
        <f t="shared" si="0"/>
        <v>5</v>
      </c>
      <c r="U5" s="12"/>
      <c r="V5" s="12"/>
    </row>
    <row r="6" spans="1:22" x14ac:dyDescent="0.3">
      <c r="A6" s="1" t="s">
        <v>53</v>
      </c>
      <c r="B6" s="1" t="s">
        <v>54</v>
      </c>
      <c r="C6" s="1" t="s">
        <v>55</v>
      </c>
      <c r="D6" s="1" t="s">
        <v>56</v>
      </c>
      <c r="E6" s="12" t="s">
        <v>57</v>
      </c>
      <c r="F6" s="12" t="s">
        <v>27</v>
      </c>
      <c r="G6" s="12" t="s">
        <v>58</v>
      </c>
      <c r="H6" s="12" t="s">
        <v>59</v>
      </c>
      <c r="I6" s="12"/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 t="s">
        <v>30</v>
      </c>
      <c r="P6" s="12" t="s">
        <v>30</v>
      </c>
      <c r="Q6" s="12" t="s">
        <v>30</v>
      </c>
      <c r="R6" s="12" t="s">
        <v>30</v>
      </c>
      <c r="S6" s="12" t="s">
        <v>30</v>
      </c>
      <c r="T6" s="12">
        <f t="shared" si="0"/>
        <v>5</v>
      </c>
      <c r="U6" s="12"/>
      <c r="V6" s="12"/>
    </row>
    <row r="7" spans="1:22" x14ac:dyDescent="0.3">
      <c r="A7" s="1" t="s">
        <v>60</v>
      </c>
      <c r="B7" s="1" t="s">
        <v>61</v>
      </c>
      <c r="C7" s="1" t="s">
        <v>62</v>
      </c>
      <c r="D7" s="1" t="s">
        <v>63</v>
      </c>
      <c r="E7" s="12" t="s">
        <v>64</v>
      </c>
      <c r="F7" s="12" t="s">
        <v>27</v>
      </c>
      <c r="G7" s="12" t="s">
        <v>65</v>
      </c>
      <c r="H7" s="12" t="s">
        <v>29</v>
      </c>
      <c r="I7" s="12"/>
      <c r="J7" s="12">
        <v>1</v>
      </c>
      <c r="K7" s="12">
        <v>1</v>
      </c>
      <c r="L7" s="12">
        <v>1</v>
      </c>
      <c r="M7" s="12">
        <v>1</v>
      </c>
      <c r="N7" s="12">
        <v>1</v>
      </c>
      <c r="O7" s="12" t="s">
        <v>30</v>
      </c>
      <c r="P7" s="12" t="s">
        <v>30</v>
      </c>
      <c r="Q7" s="12" t="s">
        <v>30</v>
      </c>
      <c r="R7" s="12" t="s">
        <v>30</v>
      </c>
      <c r="S7" s="12" t="s">
        <v>30</v>
      </c>
      <c r="T7" s="12">
        <f t="shared" si="0"/>
        <v>5</v>
      </c>
      <c r="U7" s="12"/>
      <c r="V7" s="12"/>
    </row>
    <row r="8" spans="1:22" x14ac:dyDescent="0.3">
      <c r="A8" s="1" t="s">
        <v>66</v>
      </c>
      <c r="B8" s="1" t="s">
        <v>67</v>
      </c>
      <c r="C8" s="1" t="s">
        <v>68</v>
      </c>
      <c r="D8" s="1" t="s">
        <v>63</v>
      </c>
      <c r="E8" s="12" t="s">
        <v>69</v>
      </c>
      <c r="F8" s="12" t="s">
        <v>27</v>
      </c>
      <c r="G8" s="12" t="s">
        <v>70</v>
      </c>
      <c r="H8" s="12" t="s">
        <v>59</v>
      </c>
      <c r="I8" s="12"/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 t="s">
        <v>30</v>
      </c>
      <c r="P8" s="12" t="s">
        <v>30</v>
      </c>
      <c r="Q8" s="12" t="s">
        <v>30</v>
      </c>
      <c r="R8" s="12" t="s">
        <v>30</v>
      </c>
      <c r="S8" s="12" t="s">
        <v>30</v>
      </c>
      <c r="T8" s="12">
        <f t="shared" si="0"/>
        <v>5</v>
      </c>
      <c r="U8" s="12"/>
      <c r="V8" s="12"/>
    </row>
    <row r="9" spans="1:22" x14ac:dyDescent="0.3">
      <c r="A9" s="1" t="s">
        <v>71</v>
      </c>
      <c r="B9" s="1" t="s">
        <v>72</v>
      </c>
      <c r="C9" s="1" t="s">
        <v>73</v>
      </c>
      <c r="D9" s="1" t="s">
        <v>63</v>
      </c>
      <c r="E9" s="12" t="s">
        <v>74</v>
      </c>
      <c r="F9" s="12" t="s">
        <v>27</v>
      </c>
      <c r="G9" s="12" t="s">
        <v>75</v>
      </c>
      <c r="H9" s="12" t="s">
        <v>76</v>
      </c>
      <c r="I9" s="12"/>
      <c r="J9" s="12">
        <v>1</v>
      </c>
      <c r="K9" s="12">
        <v>1</v>
      </c>
      <c r="L9" s="12">
        <v>1</v>
      </c>
      <c r="M9" s="12">
        <v>1</v>
      </c>
      <c r="N9" s="12">
        <v>1</v>
      </c>
      <c r="O9" s="12" t="s">
        <v>30</v>
      </c>
      <c r="P9" s="12" t="s">
        <v>30</v>
      </c>
      <c r="Q9" s="12" t="s">
        <v>30</v>
      </c>
      <c r="R9" s="12" t="s">
        <v>30</v>
      </c>
      <c r="S9" s="12" t="s">
        <v>30</v>
      </c>
      <c r="T9" s="12">
        <f t="shared" si="0"/>
        <v>5</v>
      </c>
      <c r="U9" s="12"/>
      <c r="V9" s="12"/>
    </row>
    <row r="10" spans="1:22" x14ac:dyDescent="0.3">
      <c r="A10" s="1" t="s">
        <v>77</v>
      </c>
      <c r="B10" s="1" t="s">
        <v>78</v>
      </c>
      <c r="C10" s="1" t="s">
        <v>79</v>
      </c>
      <c r="D10" s="1" t="s">
        <v>80</v>
      </c>
      <c r="E10" s="12" t="s">
        <v>81</v>
      </c>
      <c r="F10" s="12" t="s">
        <v>27</v>
      </c>
      <c r="G10" s="12" t="s">
        <v>82</v>
      </c>
      <c r="H10" s="12" t="s">
        <v>59</v>
      </c>
      <c r="I10" s="12"/>
      <c r="J10" s="12">
        <v>1</v>
      </c>
      <c r="K10" s="12">
        <v>1</v>
      </c>
      <c r="L10" s="12">
        <v>1</v>
      </c>
      <c r="M10" s="12">
        <v>1</v>
      </c>
      <c r="N10" s="12">
        <v>1</v>
      </c>
      <c r="O10" s="12" t="s">
        <v>30</v>
      </c>
      <c r="P10" s="12" t="s">
        <v>30</v>
      </c>
      <c r="Q10" s="12" t="s">
        <v>30</v>
      </c>
      <c r="R10" s="12" t="s">
        <v>30</v>
      </c>
      <c r="S10" s="12" t="s">
        <v>30</v>
      </c>
      <c r="T10" s="12">
        <f t="shared" si="0"/>
        <v>5</v>
      </c>
      <c r="U10" s="12"/>
      <c r="V10" s="12"/>
    </row>
    <row r="11" spans="1:22" x14ac:dyDescent="0.3">
      <c r="A11" s="1" t="s">
        <v>83</v>
      </c>
      <c r="B11" s="1" t="s">
        <v>84</v>
      </c>
      <c r="C11" s="1" t="s">
        <v>85</v>
      </c>
      <c r="D11" s="1" t="s">
        <v>86</v>
      </c>
      <c r="E11" s="12" t="s">
        <v>87</v>
      </c>
      <c r="F11" s="12" t="s">
        <v>27</v>
      </c>
      <c r="G11" s="12" t="s">
        <v>88</v>
      </c>
      <c r="H11" s="12" t="s">
        <v>59</v>
      </c>
      <c r="I11" s="12"/>
      <c r="J11" s="12">
        <v>1</v>
      </c>
      <c r="K11" s="12">
        <v>1</v>
      </c>
      <c r="L11" s="12">
        <v>0</v>
      </c>
      <c r="M11" s="12">
        <v>1</v>
      </c>
      <c r="N11" s="12">
        <v>1</v>
      </c>
      <c r="O11" s="12" t="s">
        <v>30</v>
      </c>
      <c r="P11" s="12" t="s">
        <v>30</v>
      </c>
      <c r="Q11" s="12" t="s">
        <v>30</v>
      </c>
      <c r="R11" s="12" t="s">
        <v>30</v>
      </c>
      <c r="S11" s="12" t="s">
        <v>30</v>
      </c>
      <c r="T11" s="12">
        <f t="shared" si="0"/>
        <v>4</v>
      </c>
      <c r="U11" s="12"/>
      <c r="V11" s="12"/>
    </row>
    <row r="12" spans="1:22" x14ac:dyDescent="0.3">
      <c r="A12" s="1" t="s">
        <v>89</v>
      </c>
      <c r="B12" s="1" t="s">
        <v>90</v>
      </c>
      <c r="C12" s="1" t="s">
        <v>91</v>
      </c>
      <c r="D12" s="1" t="s">
        <v>92</v>
      </c>
      <c r="E12" s="12" t="s">
        <v>93</v>
      </c>
      <c r="F12" s="12" t="s">
        <v>27</v>
      </c>
      <c r="G12" s="12" t="s">
        <v>94</v>
      </c>
      <c r="H12" s="12" t="s">
        <v>95</v>
      </c>
      <c r="I12" s="12"/>
      <c r="J12" s="12">
        <v>1</v>
      </c>
      <c r="K12" s="12">
        <v>1</v>
      </c>
      <c r="L12" s="12">
        <v>0</v>
      </c>
      <c r="M12" s="12">
        <v>1</v>
      </c>
      <c r="N12" s="12">
        <v>1</v>
      </c>
      <c r="O12" s="12" t="s">
        <v>30</v>
      </c>
      <c r="P12" s="12" t="s">
        <v>30</v>
      </c>
      <c r="Q12" s="12" t="s">
        <v>30</v>
      </c>
      <c r="R12" s="12" t="s">
        <v>30</v>
      </c>
      <c r="S12" s="12" t="s">
        <v>30</v>
      </c>
      <c r="T12" s="12">
        <f t="shared" si="0"/>
        <v>4</v>
      </c>
      <c r="U12" s="12"/>
      <c r="V12" s="12"/>
    </row>
    <row r="13" spans="1:22" x14ac:dyDescent="0.3">
      <c r="A13" s="1" t="s">
        <v>96</v>
      </c>
      <c r="B13" s="1" t="s">
        <v>97</v>
      </c>
      <c r="C13" s="1" t="s">
        <v>98</v>
      </c>
      <c r="D13" s="1" t="s">
        <v>92</v>
      </c>
      <c r="E13" s="12" t="s">
        <v>99</v>
      </c>
      <c r="F13" s="12" t="s">
        <v>27</v>
      </c>
      <c r="G13" s="12" t="s">
        <v>100</v>
      </c>
      <c r="H13" s="12" t="s">
        <v>101</v>
      </c>
      <c r="I13" s="12"/>
      <c r="J13" s="12">
        <v>0</v>
      </c>
      <c r="K13" s="12">
        <v>1</v>
      </c>
      <c r="L13" s="12">
        <v>1</v>
      </c>
      <c r="M13" s="12">
        <v>1</v>
      </c>
      <c r="N13" s="12">
        <v>1</v>
      </c>
      <c r="O13" s="12" t="s">
        <v>30</v>
      </c>
      <c r="P13" s="12" t="s">
        <v>30</v>
      </c>
      <c r="Q13" s="12" t="s">
        <v>30</v>
      </c>
      <c r="R13" s="12" t="s">
        <v>30</v>
      </c>
      <c r="S13" s="12" t="s">
        <v>30</v>
      </c>
      <c r="T13" s="12">
        <f t="shared" si="0"/>
        <v>4</v>
      </c>
      <c r="U13" s="12"/>
      <c r="V13" s="12"/>
    </row>
    <row r="14" spans="1:22" x14ac:dyDescent="0.3">
      <c r="A14" s="1" t="s">
        <v>102</v>
      </c>
      <c r="B14" s="1" t="s">
        <v>103</v>
      </c>
      <c r="C14" s="1" t="s">
        <v>104</v>
      </c>
      <c r="D14" s="1" t="s">
        <v>105</v>
      </c>
      <c r="E14" s="12" t="s">
        <v>106</v>
      </c>
      <c r="F14" s="12" t="s">
        <v>27</v>
      </c>
      <c r="G14" s="12" t="s">
        <v>107</v>
      </c>
      <c r="H14" s="12" t="s">
        <v>76</v>
      </c>
      <c r="I14" s="12"/>
      <c r="J14" s="12">
        <v>1</v>
      </c>
      <c r="K14" s="12">
        <v>1</v>
      </c>
      <c r="L14" s="12">
        <v>1</v>
      </c>
      <c r="M14" s="12">
        <v>1</v>
      </c>
      <c r="N14" s="12">
        <v>1</v>
      </c>
      <c r="O14" s="12" t="s">
        <v>30</v>
      </c>
      <c r="P14" s="12" t="s">
        <v>30</v>
      </c>
      <c r="Q14" s="12" t="s">
        <v>30</v>
      </c>
      <c r="R14" s="12" t="s">
        <v>30</v>
      </c>
      <c r="S14" s="12" t="s">
        <v>30</v>
      </c>
      <c r="T14" s="12">
        <f t="shared" si="0"/>
        <v>5</v>
      </c>
      <c r="U14" s="12"/>
      <c r="V14" s="12"/>
    </row>
    <row r="15" spans="1:22" x14ac:dyDescent="0.3">
      <c r="A15" s="1" t="s">
        <v>108</v>
      </c>
      <c r="B15" s="1" t="s">
        <v>109</v>
      </c>
      <c r="C15" s="1" t="s">
        <v>110</v>
      </c>
      <c r="D15" s="1" t="s">
        <v>105</v>
      </c>
      <c r="E15" s="12" t="s">
        <v>111</v>
      </c>
      <c r="F15" s="12" t="s">
        <v>27</v>
      </c>
      <c r="G15" s="12" t="s">
        <v>112</v>
      </c>
      <c r="H15" s="12" t="s">
        <v>52</v>
      </c>
      <c r="I15" s="12"/>
      <c r="J15" s="12">
        <v>1</v>
      </c>
      <c r="K15" s="12">
        <v>1</v>
      </c>
      <c r="L15" s="12">
        <v>1</v>
      </c>
      <c r="M15" s="12">
        <v>1</v>
      </c>
      <c r="N15" s="12">
        <v>1</v>
      </c>
      <c r="O15" s="12" t="s">
        <v>30</v>
      </c>
      <c r="P15" s="12" t="s">
        <v>30</v>
      </c>
      <c r="Q15" s="12" t="s">
        <v>30</v>
      </c>
      <c r="R15" s="12" t="s">
        <v>30</v>
      </c>
      <c r="S15" s="12" t="s">
        <v>30</v>
      </c>
      <c r="T15" s="12">
        <f t="shared" si="0"/>
        <v>5</v>
      </c>
      <c r="U15" s="12"/>
      <c r="V15" s="12"/>
    </row>
    <row r="16" spans="1:22" x14ac:dyDescent="0.3">
      <c r="A16" s="1" t="s">
        <v>113</v>
      </c>
      <c r="B16" s="1" t="s">
        <v>114</v>
      </c>
      <c r="C16" s="1" t="s">
        <v>115</v>
      </c>
      <c r="D16" s="1" t="s">
        <v>116</v>
      </c>
      <c r="E16" s="12" t="s">
        <v>117</v>
      </c>
      <c r="F16" s="12" t="s">
        <v>27</v>
      </c>
      <c r="G16" s="12" t="s">
        <v>118</v>
      </c>
      <c r="H16" s="12" t="s">
        <v>119</v>
      </c>
      <c r="I16" s="12"/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 t="s">
        <v>30</v>
      </c>
      <c r="P16" s="12" t="s">
        <v>30</v>
      </c>
      <c r="Q16" s="12" t="s">
        <v>30</v>
      </c>
      <c r="R16" s="12" t="s">
        <v>30</v>
      </c>
      <c r="S16" s="12" t="s">
        <v>30</v>
      </c>
      <c r="T16" s="12">
        <f t="shared" si="0"/>
        <v>5</v>
      </c>
      <c r="U16" s="12"/>
      <c r="V16" s="12"/>
    </row>
    <row r="17" spans="1:22" x14ac:dyDescent="0.3">
      <c r="A17" s="1" t="s">
        <v>120</v>
      </c>
      <c r="B17" s="1" t="s">
        <v>121</v>
      </c>
      <c r="C17" s="1" t="s">
        <v>122</v>
      </c>
      <c r="D17" s="1" t="s">
        <v>123</v>
      </c>
      <c r="E17" s="12" t="s">
        <v>50</v>
      </c>
      <c r="F17" s="12" t="s">
        <v>27</v>
      </c>
      <c r="G17" s="12" t="s">
        <v>124</v>
      </c>
      <c r="H17" s="12" t="s">
        <v>29</v>
      </c>
      <c r="I17" s="12"/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 t="s">
        <v>30</v>
      </c>
      <c r="P17" s="12" t="s">
        <v>30</v>
      </c>
      <c r="Q17" s="12" t="s">
        <v>30</v>
      </c>
      <c r="R17" s="12" t="s">
        <v>30</v>
      </c>
      <c r="S17" s="12" t="s">
        <v>30</v>
      </c>
      <c r="T17" s="12">
        <f t="shared" si="0"/>
        <v>5</v>
      </c>
      <c r="U17" s="12"/>
      <c r="V17" s="12"/>
    </row>
    <row r="18" spans="1:22" x14ac:dyDescent="0.3">
      <c r="A18" s="1" t="s">
        <v>125</v>
      </c>
      <c r="B18" s="1" t="s">
        <v>126</v>
      </c>
      <c r="C18" s="1" t="s">
        <v>127</v>
      </c>
      <c r="D18" s="1" t="s">
        <v>128</v>
      </c>
      <c r="E18" s="12" t="s">
        <v>129</v>
      </c>
      <c r="F18" s="12" t="s">
        <v>36</v>
      </c>
      <c r="G18" s="12" t="s">
        <v>130</v>
      </c>
      <c r="H18" s="12" t="s">
        <v>101</v>
      </c>
      <c r="I18" s="12"/>
      <c r="J18" s="12">
        <v>1</v>
      </c>
      <c r="K18" s="12">
        <v>1</v>
      </c>
      <c r="L18" s="12">
        <v>1</v>
      </c>
      <c r="M18" s="12">
        <v>1</v>
      </c>
      <c r="N18" s="12">
        <v>1</v>
      </c>
      <c r="O18" s="12" t="s">
        <v>30</v>
      </c>
      <c r="P18" s="12" t="s">
        <v>30</v>
      </c>
      <c r="Q18" s="12" t="s">
        <v>30</v>
      </c>
      <c r="R18" s="12" t="s">
        <v>30</v>
      </c>
      <c r="S18" s="12" t="s">
        <v>30</v>
      </c>
      <c r="T18" s="12">
        <f t="shared" si="0"/>
        <v>5</v>
      </c>
      <c r="U18" s="12"/>
      <c r="V18" s="12"/>
    </row>
    <row r="19" spans="1:22" x14ac:dyDescent="0.3">
      <c r="A19" s="1" t="s">
        <v>131</v>
      </c>
      <c r="B19" s="1" t="s">
        <v>132</v>
      </c>
      <c r="C19" s="1" t="s">
        <v>133</v>
      </c>
      <c r="D19" s="1" t="s">
        <v>134</v>
      </c>
      <c r="E19" s="12" t="s">
        <v>135</v>
      </c>
      <c r="F19" s="12" t="s">
        <v>27</v>
      </c>
      <c r="G19" s="12" t="s">
        <v>136</v>
      </c>
      <c r="H19" s="12" t="s">
        <v>137</v>
      </c>
      <c r="I19" s="12"/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 t="s">
        <v>30</v>
      </c>
      <c r="P19" s="12" t="s">
        <v>30</v>
      </c>
      <c r="Q19" s="12" t="s">
        <v>30</v>
      </c>
      <c r="R19" s="12" t="s">
        <v>30</v>
      </c>
      <c r="S19" s="12" t="s">
        <v>30</v>
      </c>
      <c r="T19" s="12">
        <f t="shared" si="0"/>
        <v>5</v>
      </c>
      <c r="U19" s="12"/>
      <c r="V19" s="12"/>
    </row>
    <row r="20" spans="1:22" x14ac:dyDescent="0.3">
      <c r="A20" s="1" t="s">
        <v>138</v>
      </c>
      <c r="B20" s="1" t="s">
        <v>139</v>
      </c>
      <c r="C20" s="1" t="s">
        <v>140</v>
      </c>
      <c r="D20" s="1" t="s">
        <v>141</v>
      </c>
      <c r="E20" s="12" t="s">
        <v>142</v>
      </c>
      <c r="F20" s="12" t="s">
        <v>27</v>
      </c>
      <c r="G20" s="12" t="s">
        <v>143</v>
      </c>
      <c r="H20" s="12" t="s">
        <v>101</v>
      </c>
      <c r="I20" s="12"/>
      <c r="J20" s="12">
        <v>1</v>
      </c>
      <c r="K20" s="12">
        <v>1</v>
      </c>
      <c r="L20" s="12">
        <v>1</v>
      </c>
      <c r="M20" s="12">
        <v>1</v>
      </c>
      <c r="N20" s="12">
        <v>1</v>
      </c>
      <c r="O20" s="12" t="s">
        <v>30</v>
      </c>
      <c r="P20" s="12" t="s">
        <v>30</v>
      </c>
      <c r="Q20" s="12" t="s">
        <v>30</v>
      </c>
      <c r="R20" s="12" t="s">
        <v>30</v>
      </c>
      <c r="S20" s="12" t="s">
        <v>30</v>
      </c>
      <c r="T20" s="12">
        <f t="shared" si="0"/>
        <v>5</v>
      </c>
      <c r="U20" s="12"/>
      <c r="V20" s="12"/>
    </row>
    <row r="21" spans="1:22" x14ac:dyDescent="0.3">
      <c r="A21" s="1" t="s">
        <v>144</v>
      </c>
      <c r="B21" s="1" t="s">
        <v>145</v>
      </c>
      <c r="C21" s="1" t="s">
        <v>146</v>
      </c>
      <c r="D21" s="1" t="s">
        <v>147</v>
      </c>
      <c r="E21" s="12" t="s">
        <v>148</v>
      </c>
      <c r="F21" s="12" t="s">
        <v>27</v>
      </c>
      <c r="G21" s="12" t="s">
        <v>149</v>
      </c>
      <c r="H21" s="12" t="s">
        <v>52</v>
      </c>
      <c r="I21" s="12"/>
      <c r="J21" s="12">
        <v>1</v>
      </c>
      <c r="K21" s="12">
        <v>1</v>
      </c>
      <c r="L21" s="12">
        <v>1</v>
      </c>
      <c r="M21" s="12">
        <v>1</v>
      </c>
      <c r="N21" s="12">
        <v>0</v>
      </c>
      <c r="O21" s="12" t="s">
        <v>30</v>
      </c>
      <c r="P21" s="12" t="s">
        <v>30</v>
      </c>
      <c r="Q21" s="12" t="s">
        <v>30</v>
      </c>
      <c r="R21" s="12" t="s">
        <v>30</v>
      </c>
      <c r="S21" s="12" t="s">
        <v>30</v>
      </c>
      <c r="T21" s="12">
        <f t="shared" si="0"/>
        <v>4</v>
      </c>
      <c r="U21" s="12"/>
      <c r="V21" s="12"/>
    </row>
    <row r="22" spans="1:22" x14ac:dyDescent="0.3">
      <c r="A22" s="1" t="s">
        <v>150</v>
      </c>
      <c r="B22" s="1" t="s">
        <v>151</v>
      </c>
      <c r="C22" s="1" t="s">
        <v>152</v>
      </c>
      <c r="D22" s="1" t="s">
        <v>147</v>
      </c>
      <c r="E22" s="12" t="s">
        <v>153</v>
      </c>
      <c r="F22" s="12" t="s">
        <v>27</v>
      </c>
      <c r="G22" s="12" t="s">
        <v>154</v>
      </c>
      <c r="H22" s="12" t="s">
        <v>76</v>
      </c>
      <c r="I22" s="12"/>
      <c r="J22" s="12">
        <v>1</v>
      </c>
      <c r="K22" s="12">
        <v>1</v>
      </c>
      <c r="L22" s="12">
        <v>1</v>
      </c>
      <c r="M22" s="12">
        <v>1</v>
      </c>
      <c r="N22" s="12">
        <v>1</v>
      </c>
      <c r="O22" s="12" t="s">
        <v>30</v>
      </c>
      <c r="P22" s="12" t="s">
        <v>30</v>
      </c>
      <c r="Q22" s="12" t="s">
        <v>30</v>
      </c>
      <c r="R22" s="12" t="s">
        <v>30</v>
      </c>
      <c r="S22" s="12" t="s">
        <v>30</v>
      </c>
      <c r="T22" s="12">
        <f t="shared" si="0"/>
        <v>5</v>
      </c>
      <c r="U22" s="12"/>
      <c r="V22" s="12"/>
    </row>
    <row r="23" spans="1:22" x14ac:dyDescent="0.3">
      <c r="A23" s="1" t="s">
        <v>155</v>
      </c>
      <c r="B23" s="1" t="s">
        <v>156</v>
      </c>
      <c r="C23" s="1" t="s">
        <v>157</v>
      </c>
      <c r="D23" s="1" t="s">
        <v>158</v>
      </c>
      <c r="E23" s="12" t="s">
        <v>159</v>
      </c>
      <c r="F23" s="12" t="s">
        <v>27</v>
      </c>
      <c r="G23" s="12" t="s">
        <v>160</v>
      </c>
      <c r="H23" s="12" t="s">
        <v>161</v>
      </c>
      <c r="I23" s="12"/>
      <c r="J23" s="12">
        <v>1</v>
      </c>
      <c r="K23" s="12">
        <v>1</v>
      </c>
      <c r="L23" s="12">
        <v>1</v>
      </c>
      <c r="M23" s="12">
        <v>1</v>
      </c>
      <c r="N23" s="12">
        <v>1</v>
      </c>
      <c r="O23" s="12" t="s">
        <v>30</v>
      </c>
      <c r="P23" s="12" t="s">
        <v>30</v>
      </c>
      <c r="Q23" s="12" t="s">
        <v>30</v>
      </c>
      <c r="R23" s="12" t="s">
        <v>30</v>
      </c>
      <c r="S23" s="12" t="s">
        <v>30</v>
      </c>
      <c r="T23" s="12">
        <f t="shared" si="0"/>
        <v>5</v>
      </c>
      <c r="U23" s="12"/>
      <c r="V23" s="12"/>
    </row>
    <row r="24" spans="1:22" x14ac:dyDescent="0.3">
      <c r="A24" s="1" t="s">
        <v>162</v>
      </c>
      <c r="B24" s="1" t="s">
        <v>163</v>
      </c>
      <c r="C24" s="1" t="s">
        <v>164</v>
      </c>
      <c r="D24" s="1" t="s">
        <v>165</v>
      </c>
      <c r="E24" s="12" t="s">
        <v>166</v>
      </c>
      <c r="F24" s="12" t="s">
        <v>27</v>
      </c>
      <c r="G24" s="12" t="s">
        <v>167</v>
      </c>
      <c r="H24" s="12" t="s">
        <v>38</v>
      </c>
      <c r="I24" s="12"/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 t="s">
        <v>30</v>
      </c>
      <c r="P24" s="12" t="s">
        <v>30</v>
      </c>
      <c r="Q24" s="12" t="s">
        <v>30</v>
      </c>
      <c r="R24" s="12" t="s">
        <v>30</v>
      </c>
      <c r="S24" s="12" t="s">
        <v>30</v>
      </c>
      <c r="T24" s="12">
        <f t="shared" si="0"/>
        <v>5</v>
      </c>
      <c r="U24" s="12"/>
      <c r="V24" s="12"/>
    </row>
    <row r="25" spans="1:22" x14ac:dyDescent="0.3">
      <c r="A25" s="1" t="s">
        <v>168</v>
      </c>
      <c r="B25" s="1" t="s">
        <v>169</v>
      </c>
      <c r="C25" s="1" t="s">
        <v>73</v>
      </c>
      <c r="D25" s="1" t="s">
        <v>170</v>
      </c>
      <c r="E25" s="12" t="s">
        <v>171</v>
      </c>
      <c r="F25" s="12" t="s">
        <v>27</v>
      </c>
      <c r="G25" s="12" t="s">
        <v>172</v>
      </c>
      <c r="H25" s="12" t="s">
        <v>119</v>
      </c>
      <c r="I25" s="12"/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 t="s">
        <v>30</v>
      </c>
      <c r="P25" s="12" t="s">
        <v>30</v>
      </c>
      <c r="Q25" s="12" t="s">
        <v>30</v>
      </c>
      <c r="R25" s="12" t="s">
        <v>30</v>
      </c>
      <c r="S25" s="12" t="s">
        <v>30</v>
      </c>
      <c r="T25" s="12">
        <f t="shared" si="0"/>
        <v>5</v>
      </c>
      <c r="U25" s="12"/>
      <c r="V25" s="12"/>
    </row>
    <row r="26" spans="1:22" x14ac:dyDescent="0.3">
      <c r="A26" s="1" t="s">
        <v>173</v>
      </c>
      <c r="B26" s="1" t="s">
        <v>174</v>
      </c>
      <c r="C26" s="1" t="s">
        <v>175</v>
      </c>
      <c r="D26" s="1" t="s">
        <v>176</v>
      </c>
      <c r="E26" s="12" t="s">
        <v>177</v>
      </c>
      <c r="F26" s="12" t="s">
        <v>27</v>
      </c>
      <c r="G26" s="12" t="s">
        <v>178</v>
      </c>
      <c r="H26" s="12" t="s">
        <v>29</v>
      </c>
      <c r="I26" s="12"/>
      <c r="J26" s="12">
        <v>1</v>
      </c>
      <c r="K26" s="12">
        <v>1</v>
      </c>
      <c r="L26" s="12">
        <v>1</v>
      </c>
      <c r="M26" s="12">
        <v>1</v>
      </c>
      <c r="N26" s="12">
        <v>1</v>
      </c>
      <c r="O26" s="12" t="s">
        <v>30</v>
      </c>
      <c r="P26" s="12" t="s">
        <v>30</v>
      </c>
      <c r="Q26" s="12" t="s">
        <v>30</v>
      </c>
      <c r="R26" s="12" t="s">
        <v>30</v>
      </c>
      <c r="S26" s="12" t="s">
        <v>30</v>
      </c>
      <c r="T26" s="12">
        <f t="shared" si="0"/>
        <v>5</v>
      </c>
      <c r="U26" s="12"/>
      <c r="V26" s="12"/>
    </row>
    <row r="27" spans="1:22" x14ac:dyDescent="0.3">
      <c r="A27" s="1" t="s">
        <v>179</v>
      </c>
      <c r="B27" s="1" t="s">
        <v>180</v>
      </c>
      <c r="C27" s="1" t="s">
        <v>181</v>
      </c>
      <c r="D27" s="1" t="s">
        <v>182</v>
      </c>
      <c r="E27" s="12" t="s">
        <v>183</v>
      </c>
      <c r="F27" s="12" t="s">
        <v>27</v>
      </c>
      <c r="G27" s="12" t="s">
        <v>184</v>
      </c>
      <c r="H27" s="12" t="s">
        <v>101</v>
      </c>
      <c r="I27" s="12"/>
      <c r="J27" s="12">
        <v>1</v>
      </c>
      <c r="K27" s="12">
        <v>1</v>
      </c>
      <c r="L27" s="12">
        <v>0</v>
      </c>
      <c r="M27" s="12">
        <v>1</v>
      </c>
      <c r="N27" s="12">
        <v>1</v>
      </c>
      <c r="O27" s="12" t="s">
        <v>30</v>
      </c>
      <c r="P27" s="12" t="s">
        <v>30</v>
      </c>
      <c r="Q27" s="12" t="s">
        <v>30</v>
      </c>
      <c r="R27" s="12" t="s">
        <v>30</v>
      </c>
      <c r="S27" s="12" t="s">
        <v>30</v>
      </c>
      <c r="T27" s="12">
        <f t="shared" si="0"/>
        <v>4</v>
      </c>
      <c r="U27" s="12"/>
      <c r="V27" s="12"/>
    </row>
    <row r="28" spans="1:22" x14ac:dyDescent="0.3">
      <c r="A28" s="1" t="s">
        <v>185</v>
      </c>
      <c r="B28" s="1" t="s">
        <v>186</v>
      </c>
      <c r="C28" s="1" t="s">
        <v>187</v>
      </c>
      <c r="D28" s="1" t="s">
        <v>188</v>
      </c>
      <c r="E28" s="12" t="s">
        <v>189</v>
      </c>
      <c r="F28" s="12" t="s">
        <v>27</v>
      </c>
      <c r="G28" s="12" t="s">
        <v>190</v>
      </c>
      <c r="H28" s="12" t="s">
        <v>191</v>
      </c>
      <c r="I28" s="12"/>
      <c r="J28" s="12">
        <v>1</v>
      </c>
      <c r="K28" s="12">
        <v>1</v>
      </c>
      <c r="L28" s="12">
        <v>1</v>
      </c>
      <c r="M28" s="12">
        <v>1</v>
      </c>
      <c r="N28" s="12">
        <v>1</v>
      </c>
      <c r="O28" s="12" t="s">
        <v>30</v>
      </c>
      <c r="P28" s="12" t="s">
        <v>30</v>
      </c>
      <c r="Q28" s="12" t="s">
        <v>30</v>
      </c>
      <c r="R28" s="12" t="s">
        <v>30</v>
      </c>
      <c r="S28" s="12" t="s">
        <v>30</v>
      </c>
      <c r="T28" s="12">
        <f t="shared" si="0"/>
        <v>5</v>
      </c>
      <c r="U28" s="12"/>
      <c r="V28" s="12"/>
    </row>
    <row r="29" spans="1:22" x14ac:dyDescent="0.3">
      <c r="A29" s="1" t="s">
        <v>192</v>
      </c>
      <c r="B29" s="1" t="s">
        <v>193</v>
      </c>
      <c r="C29" s="1" t="s">
        <v>194</v>
      </c>
      <c r="D29" s="1" t="s">
        <v>195</v>
      </c>
      <c r="E29" s="12" t="s">
        <v>196</v>
      </c>
      <c r="F29" s="12" t="s">
        <v>27</v>
      </c>
      <c r="G29" s="12" t="s">
        <v>197</v>
      </c>
      <c r="H29" s="12" t="s">
        <v>29</v>
      </c>
      <c r="I29" s="12"/>
      <c r="J29" s="12">
        <v>1</v>
      </c>
      <c r="K29" s="12">
        <v>1</v>
      </c>
      <c r="L29" s="12">
        <v>1</v>
      </c>
      <c r="M29" s="12">
        <v>1</v>
      </c>
      <c r="N29" s="12">
        <v>1</v>
      </c>
      <c r="O29" s="12" t="s">
        <v>30</v>
      </c>
      <c r="P29" s="12" t="s">
        <v>30</v>
      </c>
      <c r="Q29" s="12" t="s">
        <v>30</v>
      </c>
      <c r="R29" s="12" t="s">
        <v>30</v>
      </c>
      <c r="S29" s="12" t="s">
        <v>30</v>
      </c>
      <c r="T29" s="12">
        <f t="shared" si="0"/>
        <v>5</v>
      </c>
      <c r="U29" s="12"/>
      <c r="V29" s="12"/>
    </row>
    <row r="30" spans="1:22" x14ac:dyDescent="0.3">
      <c r="A30" s="1" t="s">
        <v>198</v>
      </c>
      <c r="B30" s="1" t="s">
        <v>199</v>
      </c>
      <c r="C30" s="1" t="s">
        <v>200</v>
      </c>
      <c r="D30" s="1" t="s">
        <v>201</v>
      </c>
      <c r="E30" s="12" t="s">
        <v>202</v>
      </c>
      <c r="F30" s="12" t="s">
        <v>27</v>
      </c>
      <c r="G30" s="12" t="s">
        <v>203</v>
      </c>
      <c r="H30" s="12" t="s">
        <v>45</v>
      </c>
      <c r="I30" s="12"/>
      <c r="J30" s="12">
        <v>1</v>
      </c>
      <c r="K30" s="12">
        <v>1</v>
      </c>
      <c r="L30" s="12">
        <v>1</v>
      </c>
      <c r="M30" s="12">
        <v>1</v>
      </c>
      <c r="N30" s="12">
        <v>1</v>
      </c>
      <c r="O30" s="12" t="s">
        <v>30</v>
      </c>
      <c r="P30" s="12" t="s">
        <v>30</v>
      </c>
      <c r="Q30" s="12" t="s">
        <v>30</v>
      </c>
      <c r="R30" s="12" t="s">
        <v>30</v>
      </c>
      <c r="S30" s="12" t="s">
        <v>30</v>
      </c>
      <c r="T30" s="12">
        <f t="shared" si="0"/>
        <v>5</v>
      </c>
      <c r="U30" s="12"/>
      <c r="V30" s="12"/>
    </row>
    <row r="31" spans="1:22" x14ac:dyDescent="0.3">
      <c r="A31" s="1" t="s">
        <v>204</v>
      </c>
      <c r="B31" s="1" t="s">
        <v>205</v>
      </c>
      <c r="C31" s="1" t="s">
        <v>206</v>
      </c>
      <c r="D31" s="1" t="s">
        <v>207</v>
      </c>
      <c r="E31" s="12" t="s">
        <v>208</v>
      </c>
      <c r="F31" s="12" t="s">
        <v>27</v>
      </c>
      <c r="G31" s="12" t="s">
        <v>209</v>
      </c>
      <c r="H31" s="12" t="s">
        <v>45</v>
      </c>
      <c r="I31" s="12"/>
      <c r="J31" s="12">
        <v>1</v>
      </c>
      <c r="K31" s="12">
        <v>1</v>
      </c>
      <c r="L31" s="12">
        <v>1</v>
      </c>
      <c r="M31" s="12">
        <v>0</v>
      </c>
      <c r="N31" s="12">
        <v>1</v>
      </c>
      <c r="O31" s="12" t="s">
        <v>30</v>
      </c>
      <c r="P31" s="12" t="s">
        <v>30</v>
      </c>
      <c r="Q31" s="12" t="s">
        <v>30</v>
      </c>
      <c r="R31" s="12" t="s">
        <v>30</v>
      </c>
      <c r="S31" s="12" t="s">
        <v>30</v>
      </c>
      <c r="T31" s="12">
        <f t="shared" si="0"/>
        <v>4</v>
      </c>
      <c r="U31" s="12"/>
      <c r="V31" s="12"/>
    </row>
    <row r="32" spans="1:22" x14ac:dyDescent="0.3">
      <c r="A32" s="1" t="s">
        <v>210</v>
      </c>
      <c r="B32" s="1" t="s">
        <v>211</v>
      </c>
      <c r="C32" s="1" t="s">
        <v>212</v>
      </c>
      <c r="D32" s="1" t="s">
        <v>213</v>
      </c>
      <c r="E32" s="12" t="s">
        <v>214</v>
      </c>
      <c r="F32" s="12" t="s">
        <v>27</v>
      </c>
      <c r="G32" s="12" t="s">
        <v>215</v>
      </c>
      <c r="H32" s="12" t="s">
        <v>137</v>
      </c>
      <c r="I32" s="12"/>
      <c r="J32" s="12">
        <v>1</v>
      </c>
      <c r="K32" s="12">
        <v>1</v>
      </c>
      <c r="L32" s="12">
        <v>1</v>
      </c>
      <c r="M32" s="12">
        <v>1</v>
      </c>
      <c r="N32" s="12">
        <v>1</v>
      </c>
      <c r="O32" s="12" t="s">
        <v>30</v>
      </c>
      <c r="P32" s="12" t="s">
        <v>30</v>
      </c>
      <c r="Q32" s="12" t="s">
        <v>30</v>
      </c>
      <c r="R32" s="12" t="s">
        <v>30</v>
      </c>
      <c r="S32" s="12" t="s">
        <v>30</v>
      </c>
      <c r="T32" s="12">
        <f t="shared" si="0"/>
        <v>5</v>
      </c>
      <c r="U32" s="12"/>
      <c r="V32" s="12"/>
    </row>
    <row r="33" spans="1:22" x14ac:dyDescent="0.3">
      <c r="A33" s="1" t="s">
        <v>216</v>
      </c>
      <c r="B33" s="1" t="s">
        <v>217</v>
      </c>
      <c r="C33" s="1" t="s">
        <v>218</v>
      </c>
      <c r="D33" s="1" t="s">
        <v>219</v>
      </c>
      <c r="E33" s="12" t="s">
        <v>220</v>
      </c>
      <c r="F33" s="12" t="s">
        <v>27</v>
      </c>
      <c r="G33" s="12" t="s">
        <v>221</v>
      </c>
      <c r="H33" s="12" t="s">
        <v>76</v>
      </c>
      <c r="I33" s="12"/>
      <c r="J33" s="12">
        <v>1</v>
      </c>
      <c r="K33" s="12">
        <v>1</v>
      </c>
      <c r="L33" s="12">
        <v>1</v>
      </c>
      <c r="M33" s="12">
        <v>1</v>
      </c>
      <c r="N33" s="12">
        <v>1</v>
      </c>
      <c r="O33" s="12" t="s">
        <v>30</v>
      </c>
      <c r="P33" s="12" t="s">
        <v>30</v>
      </c>
      <c r="Q33" s="12" t="s">
        <v>30</v>
      </c>
      <c r="R33" s="12" t="s">
        <v>30</v>
      </c>
      <c r="S33" s="12" t="s">
        <v>30</v>
      </c>
      <c r="T33" s="12">
        <f t="shared" si="0"/>
        <v>5</v>
      </c>
      <c r="U33" s="12"/>
      <c r="V33" s="12"/>
    </row>
    <row r="34" spans="1:22" x14ac:dyDescent="0.3">
      <c r="A34" s="1" t="s">
        <v>222</v>
      </c>
      <c r="B34" s="1" t="s">
        <v>223</v>
      </c>
      <c r="C34" s="1" t="s">
        <v>224</v>
      </c>
      <c r="D34" s="1" t="s">
        <v>225</v>
      </c>
      <c r="E34" s="12" t="s">
        <v>226</v>
      </c>
      <c r="F34" s="12" t="s">
        <v>27</v>
      </c>
      <c r="G34" s="12" t="s">
        <v>227</v>
      </c>
      <c r="H34" s="12" t="s">
        <v>161</v>
      </c>
      <c r="I34" s="12"/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 t="s">
        <v>30</v>
      </c>
      <c r="P34" s="12" t="s">
        <v>30</v>
      </c>
      <c r="Q34" s="12" t="s">
        <v>30</v>
      </c>
      <c r="R34" s="12" t="s">
        <v>30</v>
      </c>
      <c r="S34" s="12" t="s">
        <v>30</v>
      </c>
      <c r="T34" s="12">
        <f t="shared" si="0"/>
        <v>5</v>
      </c>
      <c r="U34" s="12"/>
      <c r="V34" s="12"/>
    </row>
    <row r="35" spans="1:22" x14ac:dyDescent="0.3">
      <c r="J35" s="13" t="s">
        <v>251</v>
      </c>
      <c r="K35" s="13" t="s">
        <v>252</v>
      </c>
      <c r="L35" s="13" t="s">
        <v>253</v>
      </c>
      <c r="M35" s="13" t="s">
        <v>254</v>
      </c>
      <c r="N35" s="13" t="s">
        <v>255</v>
      </c>
      <c r="O35" s="13" t="s">
        <v>238</v>
      </c>
      <c r="P35" s="13" t="s">
        <v>240</v>
      </c>
      <c r="Q35" s="13" t="s">
        <v>242</v>
      </c>
      <c r="R35" s="13" t="s">
        <v>256</v>
      </c>
      <c r="S35" s="13" t="s">
        <v>257</v>
      </c>
    </row>
    <row r="36" spans="1:22" x14ac:dyDescent="0.3">
      <c r="J36" s="13">
        <f>COUNTIF(J2:J34,"&gt;=1")</f>
        <v>32</v>
      </c>
      <c r="K36" s="13">
        <f t="shared" ref="K36:V36" si="1">COUNTIF(K2:K34,"&gt;=1")</f>
        <v>33</v>
      </c>
      <c r="L36" s="13">
        <f t="shared" si="1"/>
        <v>30</v>
      </c>
      <c r="M36" s="13">
        <f t="shared" si="1"/>
        <v>32</v>
      </c>
      <c r="N36" s="13">
        <f t="shared" si="1"/>
        <v>32</v>
      </c>
      <c r="O36" s="13">
        <f t="shared" si="1"/>
        <v>0</v>
      </c>
      <c r="P36" s="13">
        <f t="shared" si="1"/>
        <v>0</v>
      </c>
      <c r="Q36" s="13">
        <f t="shared" si="1"/>
        <v>0</v>
      </c>
      <c r="R36" s="13">
        <f t="shared" si="1"/>
        <v>0</v>
      </c>
      <c r="S36" s="13">
        <f t="shared" si="1"/>
        <v>0</v>
      </c>
      <c r="T36" s="13">
        <f t="shared" si="1"/>
        <v>33</v>
      </c>
      <c r="U36" s="13">
        <f t="shared" si="1"/>
        <v>0</v>
      </c>
      <c r="V36" s="13">
        <f t="shared" si="1"/>
        <v>0</v>
      </c>
    </row>
    <row r="37" spans="1:22" s="15" customFormat="1" ht="101.25" x14ac:dyDescent="0.3">
      <c r="A37" s="14"/>
      <c r="B37" s="14"/>
      <c r="C37" s="14"/>
      <c r="D37" s="14"/>
      <c r="J37" s="15" t="s">
        <v>245</v>
      </c>
      <c r="K37" s="15" t="s">
        <v>247</v>
      </c>
      <c r="L37" s="15" t="s">
        <v>248</v>
      </c>
      <c r="M37" s="15" t="s">
        <v>250</v>
      </c>
      <c r="N37" s="15" t="s">
        <v>258</v>
      </c>
    </row>
    <row r="38" spans="1:22" x14ac:dyDescent="0.3">
      <c r="J38" s="13" t="s">
        <v>246</v>
      </c>
      <c r="K38" s="13" t="s">
        <v>246</v>
      </c>
      <c r="L38" s="13" t="s">
        <v>246</v>
      </c>
      <c r="M38" s="13" t="s">
        <v>246</v>
      </c>
      <c r="N38" s="13" t="s">
        <v>246</v>
      </c>
      <c r="O38" s="13" t="s">
        <v>249</v>
      </c>
      <c r="P38" s="13" t="s">
        <v>249</v>
      </c>
      <c r="Q38" s="13" t="s">
        <v>249</v>
      </c>
      <c r="R38" s="13" t="s">
        <v>249</v>
      </c>
    </row>
  </sheetData>
  <autoFilter ref="A1:V38" xr:uid="{00000000-0001-0000-0000-000000000000}"/>
  <phoneticPr fontId="6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1A4B-F3FF-42E3-914C-712D193D6A17}">
  <dimension ref="B4:F10"/>
  <sheetViews>
    <sheetView workbookViewId="0">
      <selection activeCell="E23" sqref="E23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2E9A-8398-4DA4-ACD7-8EB2638AE136}">
  <dimension ref="B4:F10"/>
  <sheetViews>
    <sheetView workbookViewId="0">
      <selection activeCell="D5" sqref="D5:F5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B863-3341-4153-B094-B489F804A7DC}">
  <dimension ref="B4:F10"/>
  <sheetViews>
    <sheetView workbookViewId="0">
      <selection activeCell="E37" sqref="E37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91DB-7BE6-44EA-B95F-30C09DC6BC68}">
  <dimension ref="B4:F10"/>
  <sheetViews>
    <sheetView workbookViewId="0">
      <selection activeCell="D33" sqref="D33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A29A-7C0C-4612-B818-54AA47918D2F}">
  <dimension ref="B4:F10"/>
  <sheetViews>
    <sheetView workbookViewId="0">
      <selection activeCell="D33" sqref="D33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FB67-CB46-49E4-A560-2B5258BFB118}">
  <dimension ref="B4:F10"/>
  <sheetViews>
    <sheetView workbookViewId="0">
      <selection activeCell="D33" sqref="D33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4484-60A1-485A-B63A-D1F45E3A5E18}">
  <dimension ref="B4:F10"/>
  <sheetViews>
    <sheetView workbookViewId="0">
      <selection activeCell="D33" sqref="D33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EA5C-2ED0-43AF-B844-4B09E4B9BA3A}">
  <dimension ref="B4:F10"/>
  <sheetViews>
    <sheetView workbookViewId="0">
      <selection activeCell="D33" sqref="D33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4F57-9851-460D-81DA-6403B8650BEE}">
  <dimension ref="B4:F10"/>
  <sheetViews>
    <sheetView workbookViewId="0">
      <selection activeCell="D33" sqref="D33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8D3A-6F75-4631-A380-1F549B9C9904}">
  <dimension ref="B4:F10"/>
  <sheetViews>
    <sheetView workbookViewId="0">
      <selection activeCell="D33" sqref="D33"/>
    </sheetView>
  </sheetViews>
  <sheetFormatPr defaultColWidth="9.125" defaultRowHeight="14.25" x14ac:dyDescent="0.2"/>
  <cols>
    <col min="2" max="2" width="6.875" bestFit="1" customWidth="1"/>
    <col min="3" max="3" width="8.875" bestFit="1" customWidth="1"/>
    <col min="4" max="4" width="43.625" bestFit="1" customWidth="1"/>
    <col min="5" max="5" width="42.375" bestFit="1" customWidth="1"/>
    <col min="6" max="6" width="12.5" bestFit="1" customWidth="1"/>
  </cols>
  <sheetData>
    <row r="4" spans="2:6" ht="15.75" x14ac:dyDescent="0.25"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spans="2:6" ht="15.75" x14ac:dyDescent="0.25">
      <c r="B5" s="5" t="s">
        <v>233</v>
      </c>
      <c r="C5" s="5" t="s">
        <v>234</v>
      </c>
      <c r="D5" s="6"/>
      <c r="E5" s="7"/>
      <c r="F5" s="5"/>
    </row>
    <row r="6" spans="2:6" ht="15.75" x14ac:dyDescent="0.25">
      <c r="B6" s="8" t="s">
        <v>235</v>
      </c>
      <c r="C6" s="8" t="s">
        <v>236</v>
      </c>
      <c r="D6" s="8"/>
      <c r="E6" s="8"/>
      <c r="F6" s="8"/>
    </row>
    <row r="7" spans="2:6" ht="15.75" x14ac:dyDescent="0.25">
      <c r="B7" s="5" t="s">
        <v>237</v>
      </c>
      <c r="C7" s="5" t="s">
        <v>238</v>
      </c>
      <c r="D7" s="5"/>
      <c r="E7" s="5"/>
      <c r="F7" s="5"/>
    </row>
    <row r="8" spans="2:6" ht="15.75" x14ac:dyDescent="0.25">
      <c r="B8" s="8" t="s">
        <v>239</v>
      </c>
      <c r="C8" s="8" t="s">
        <v>240</v>
      </c>
      <c r="D8" s="8"/>
      <c r="E8" s="8"/>
      <c r="F8" s="8"/>
    </row>
    <row r="9" spans="2:6" ht="15.75" x14ac:dyDescent="0.25">
      <c r="B9" s="5" t="s">
        <v>241</v>
      </c>
      <c r="C9" s="5" t="s">
        <v>242</v>
      </c>
      <c r="D9" s="5"/>
      <c r="E9" s="5"/>
      <c r="F9" s="5"/>
    </row>
    <row r="10" spans="2:6" ht="15.75" x14ac:dyDescent="0.25">
      <c r="B10" s="8" t="s">
        <v>243</v>
      </c>
      <c r="C10" s="8" t="s">
        <v>244</v>
      </c>
      <c r="D10" s="8"/>
      <c r="E10" s="8"/>
      <c r="F10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261_71ITGR40303_01</vt:lpstr>
      <vt:lpstr>Nhóm (1)</vt:lpstr>
      <vt:lpstr>Nhóm (2)</vt:lpstr>
      <vt:lpstr>Nhóm (3)</vt:lpstr>
      <vt:lpstr>Nhóm (4)</vt:lpstr>
      <vt:lpstr>Nhóm (5)</vt:lpstr>
      <vt:lpstr>Nhóm (6)</vt:lpstr>
      <vt:lpstr>Nhóm (7)</vt:lpstr>
      <vt:lpstr>Nhóm (8)</vt:lpstr>
      <vt:lpstr>Nhóm (9)</vt:lpstr>
      <vt:lpstr>Nhóm (10)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Hà Đồng Hưng - Khoa Công nghệ Thông tin - VLTECH</cp:lastModifiedBy>
  <cp:revision/>
  <dcterms:created xsi:type="dcterms:W3CDTF">2026-09-25T12:07:37Z</dcterms:created>
  <dcterms:modified xsi:type="dcterms:W3CDTF">2026-10-25T15:45:06Z</dcterms:modified>
  <cp:category/>
  <cp:contentStatus/>
</cp:coreProperties>
</file>